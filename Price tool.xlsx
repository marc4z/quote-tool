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zmacbookpro/Library/CloudStorage/Dropbox/Claude/"/>
    </mc:Choice>
  </mc:AlternateContent>
  <xr:revisionPtr revIDLastSave="0" documentId="13_ncr:1_{45C9FBB4-C1FC-6A43-9E04-99626530666B}" xr6:coauthVersionLast="47" xr6:coauthVersionMax="47" xr10:uidLastSave="{00000000-0000-0000-0000-000000000000}"/>
  <bookViews>
    <workbookView xWindow="0" yWindow="660" windowWidth="34560" windowHeight="20340" activeTab="1" xr2:uid="{00000000-000D-0000-FFFF-FFFF00000000}"/>
  </bookViews>
  <sheets>
    <sheet name="Heat Transfer" sheetId="1" r:id="rId1"/>
    <sheet name="Embroidery" sheetId="3" r:id="rId2"/>
    <sheet name="Screen Printin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 a="1"/>
  <c r="B15" i="3" s="1"/>
  <c r="B13" i="3"/>
  <c r="B14" i="3" s="1"/>
  <c r="B13" i="1"/>
  <c r="B15" i="1" a="1"/>
  <c r="B15" i="1" s="1"/>
  <c r="B14" i="1"/>
  <c r="B29" i="2" a="1"/>
  <c r="B29" i="2" s="1"/>
  <c r="H14" i="2"/>
  <c r="H22" i="2" s="1"/>
  <c r="G14" i="2"/>
  <c r="G22" i="2" s="1"/>
  <c r="F14" i="2"/>
  <c r="F22" i="2" s="1"/>
  <c r="E14" i="2"/>
  <c r="E22" i="2" s="1"/>
  <c r="D14" i="2"/>
  <c r="B27" i="2" s="1"/>
  <c r="C14" i="2"/>
  <c r="C22" i="2" s="1"/>
  <c r="H13" i="2"/>
  <c r="H21" i="2" s="1"/>
  <c r="G13" i="2"/>
  <c r="G21" i="2" s="1"/>
  <c r="F13" i="2"/>
  <c r="F21" i="2" s="1"/>
  <c r="E13" i="2"/>
  <c r="E21" i="2" s="1"/>
  <c r="D13" i="2"/>
  <c r="D21" i="2" s="1"/>
  <c r="C13" i="2"/>
  <c r="C21" i="2" s="1"/>
  <c r="H12" i="2"/>
  <c r="H20" i="2" s="1"/>
  <c r="G12" i="2"/>
  <c r="G20" i="2" s="1"/>
  <c r="F12" i="2"/>
  <c r="E12" i="2"/>
  <c r="D12" i="2"/>
  <c r="C12" i="2"/>
  <c r="C20" i="2" s="1"/>
  <c r="H11" i="2"/>
  <c r="H19" i="2" s="1"/>
  <c r="G11" i="2"/>
  <c r="G19" i="2" s="1"/>
  <c r="F11" i="2"/>
  <c r="F19" i="2" s="1"/>
  <c r="E11" i="2"/>
  <c r="E19" i="2" s="1"/>
  <c r="D11" i="2"/>
  <c r="D19" i="2" s="1"/>
  <c r="C11" i="2"/>
  <c r="C19" i="2" s="1"/>
  <c r="H10" i="2"/>
  <c r="H18" i="2" s="1"/>
  <c r="G10" i="2"/>
  <c r="G18" i="2" s="1"/>
  <c r="F10" i="2"/>
  <c r="F18" i="2" s="1"/>
  <c r="E10" i="2"/>
  <c r="E18" i="2" s="1"/>
  <c r="D10" i="2"/>
  <c r="D18" i="2" s="1"/>
  <c r="F20" i="2"/>
  <c r="E20" i="2"/>
  <c r="D20" i="2"/>
  <c r="C10" i="2"/>
  <c r="C18" i="2" s="1"/>
  <c r="B16" i="3" l="1"/>
  <c r="B18" i="3" s="1"/>
  <c r="B19" i="3" s="1"/>
  <c r="B17" i="3"/>
  <c r="B16" i="1"/>
  <c r="B18" i="1"/>
  <c r="B19" i="1" s="1"/>
  <c r="B17" i="1"/>
  <c r="D22" i="2"/>
  <c r="B28" i="2"/>
  <c r="B30" i="2" s="1"/>
  <c r="B20" i="3" l="1"/>
  <c r="B20" i="1"/>
  <c r="B31" i="2"/>
  <c r="B32" i="2"/>
  <c r="A33" i="2" s="1"/>
  <c r="A3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<sst xmlns="http://schemas.openxmlformats.org/spreadsheetml/2006/main" count="109" uniqueCount="68">
  <si>
    <t/>
  </si>
  <si>
    <t>From</t>
  </si>
  <si>
    <t>To</t>
  </si>
  <si>
    <t>1.5" x 1.5"</t>
  </si>
  <si>
    <t>2.5" x 2.5"</t>
  </si>
  <si>
    <t>4" x 4"</t>
  </si>
  <si>
    <t>5.8" x 8.3"</t>
  </si>
  <si>
    <t>11.7" x 4.25"</t>
  </si>
  <si>
    <t>16.5" x 5.85"</t>
  </si>
  <si>
    <t>8.3" x 11.7"</t>
  </si>
  <si>
    <t>11.7" x 11.7"</t>
  </si>
  <si>
    <t>11.7" x 16.5"</t>
  </si>
  <si>
    <t>$5.20</t>
  </si>
  <si>
    <t>$1.86</t>
  </si>
  <si>
    <t>$1.30</t>
  </si>
  <si>
    <t>$2.78</t>
  </si>
  <si>
    <t>$2.56</t>
  </si>
  <si>
    <t>$3.02</t>
  </si>
  <si>
    <t>$5.12</t>
  </si>
  <si>
    <t>Apparel Cost</t>
  </si>
  <si>
    <t>$2.62</t>
  </si>
  <si>
    <t>$2.95</t>
  </si>
  <si>
    <t>$3.23</t>
  </si>
  <si>
    <t>$4.28</t>
  </si>
  <si>
    <t>$6.43</t>
  </si>
  <si>
    <t>$7.74</t>
  </si>
  <si>
    <t>$2.18</t>
  </si>
  <si>
    <t>$2.45</t>
  </si>
  <si>
    <t>$2.69</t>
  </si>
  <si>
    <t>$3.57</t>
  </si>
  <si>
    <t>$4.27</t>
  </si>
  <si>
    <t>$5.37</t>
  </si>
  <si>
    <t>$6.46</t>
  </si>
  <si>
    <t>$1.62</t>
  </si>
  <si>
    <t>$1.96</t>
  </si>
  <si>
    <t>$3.30</t>
  </si>
  <si>
    <t>$4.24</t>
  </si>
  <si>
    <t>$0.87</t>
  </si>
  <si>
    <t>$1.11</t>
  </si>
  <si>
    <t>$1.45</t>
  </si>
  <si>
    <t>$1.77</t>
  </si>
  <si>
    <t>$2.27</t>
  </si>
  <si>
    <t>$3.63</t>
  </si>
  <si>
    <t>$0.70</t>
  </si>
  <si>
    <t>$0.93</t>
  </si>
  <si>
    <t>$1.26</t>
  </si>
  <si>
    <t>$1.49</t>
  </si>
  <si>
    <t>$2.43</t>
  </si>
  <si>
    <t>$0.56</t>
  </si>
  <si>
    <t>$0.78</t>
  </si>
  <si>
    <t>$1.10</t>
  </si>
  <si>
    <t>$1.33</t>
  </si>
  <si>
    <t>$1.71</t>
  </si>
  <si>
    <t>$2.24</t>
  </si>
  <si>
    <t>colors</t>
  </si>
  <si>
    <t>Qty</t>
  </si>
  <si>
    <t>One Side</t>
  </si>
  <si>
    <t>Second side</t>
  </si>
  <si>
    <t>Print cost</t>
  </si>
  <si>
    <t>Sub Total</t>
  </si>
  <si>
    <t>Margin</t>
  </si>
  <si>
    <t>Total</t>
  </si>
  <si>
    <t>Profit</t>
  </si>
  <si>
    <t>ipu</t>
  </si>
  <si>
    <t>Size</t>
  </si>
  <si>
    <t>ipu cost per</t>
  </si>
  <si>
    <t>ipu cost total</t>
  </si>
  <si>
    <t>6000 stitches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</si>
</sst>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44" fontId="0" fillId="0" borderId="0" xfId="1" applyFont="1"/>
    <xf numFmtId="44" fontId="0" fillId="0" borderId="0" xfId="0" applyNumberFormat="1"/>
    <xf numFmtId="9" fontId="0" fillId="0" borderId="0" xfId="2" applyFont="1"/>
    <xf numFmtId="44" fontId="0" fillId="2" borderId="1" xfId="0" applyNumberFormat="1" applyFill="1" applyBorder="1"/>
    <xf numFmtId="0" fontId="0" fillId="3" borderId="0" xfId="0" applyFill="1"/>
    <xf numFmtId="0" fontId="0" fillId="4" borderId="0" xfId="0" applyFill="1"/>
    <xf numFmtId="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sqref="A1:K20"/>
    </sheetView>
  </sheetViews>
  <sheetFormatPr baseColWidth="10" defaultRowHeight="16" x14ac:dyDescent="0.2"/>
  <cols>
    <col min="1" max="1" width="11.5" bestFit="1" customWidth="1"/>
  </cols>
  <sheetData>
    <row r="1" spans="1:11" x14ac:dyDescent="0.2">
      <c r="A1" t="s">
        <v>1</v>
      </c>
      <c r="B1" t="s">
        <v>2</v>
      </c>
      <c r="C1" t="s">
        <v>64</v>
      </c>
    </row>
    <row r="2" spans="1:11" x14ac:dyDescent="0.2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">
      <c r="A3">
        <v>10</v>
      </c>
      <c r="B3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18</v>
      </c>
      <c r="I3" t="s">
        <v>18</v>
      </c>
      <c r="J3" t="s">
        <v>24</v>
      </c>
      <c r="K3" t="s">
        <v>25</v>
      </c>
    </row>
    <row r="4" spans="1:11" x14ac:dyDescent="0.2">
      <c r="A4">
        <v>20</v>
      </c>
      <c r="B4">
        <v>49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30</v>
      </c>
      <c r="I4" t="s">
        <v>30</v>
      </c>
      <c r="J4" t="s">
        <v>31</v>
      </c>
      <c r="K4" t="s">
        <v>32</v>
      </c>
    </row>
    <row r="5" spans="1:11" x14ac:dyDescent="0.2">
      <c r="A5">
        <v>50</v>
      </c>
      <c r="B5">
        <v>99</v>
      </c>
      <c r="C5" t="s">
        <v>14</v>
      </c>
      <c r="D5" t="s">
        <v>33</v>
      </c>
      <c r="E5" t="s">
        <v>34</v>
      </c>
      <c r="F5" t="s">
        <v>16</v>
      </c>
      <c r="G5" t="s">
        <v>16</v>
      </c>
      <c r="H5" t="s">
        <v>35</v>
      </c>
      <c r="I5" t="s">
        <v>35</v>
      </c>
      <c r="J5" t="s">
        <v>36</v>
      </c>
      <c r="K5" t="s">
        <v>12</v>
      </c>
    </row>
    <row r="6" spans="1:11" x14ac:dyDescent="0.2">
      <c r="A6">
        <v>100</v>
      </c>
      <c r="B6">
        <v>199</v>
      </c>
      <c r="C6" t="s">
        <v>37</v>
      </c>
      <c r="D6" t="s">
        <v>38</v>
      </c>
      <c r="E6" t="s">
        <v>39</v>
      </c>
      <c r="F6" t="s">
        <v>40</v>
      </c>
      <c r="G6" t="s">
        <v>40</v>
      </c>
      <c r="H6" t="s">
        <v>41</v>
      </c>
      <c r="I6" t="s">
        <v>41</v>
      </c>
      <c r="J6" t="s">
        <v>21</v>
      </c>
      <c r="K6" t="s">
        <v>42</v>
      </c>
    </row>
    <row r="7" spans="1:11" x14ac:dyDescent="0.2">
      <c r="A7">
        <v>200</v>
      </c>
      <c r="B7">
        <v>299</v>
      </c>
      <c r="C7" t="s">
        <v>43</v>
      </c>
      <c r="D7" t="s">
        <v>44</v>
      </c>
      <c r="E7" t="s">
        <v>45</v>
      </c>
      <c r="F7" t="s">
        <v>46</v>
      </c>
      <c r="G7" t="s">
        <v>46</v>
      </c>
      <c r="H7" t="s">
        <v>13</v>
      </c>
      <c r="I7" t="s">
        <v>13</v>
      </c>
      <c r="J7" t="s">
        <v>47</v>
      </c>
      <c r="K7" t="s">
        <v>17</v>
      </c>
    </row>
    <row r="8" spans="1:11" x14ac:dyDescent="0.2">
      <c r="A8">
        <v>300</v>
      </c>
      <c r="B8">
        <v>499</v>
      </c>
      <c r="C8" t="s">
        <v>48</v>
      </c>
      <c r="D8" t="s">
        <v>49</v>
      </c>
      <c r="E8" t="s">
        <v>50</v>
      </c>
      <c r="F8" t="s">
        <v>51</v>
      </c>
      <c r="G8" t="s">
        <v>51</v>
      </c>
      <c r="H8" t="s">
        <v>52</v>
      </c>
      <c r="I8" t="s">
        <v>52</v>
      </c>
      <c r="J8" t="s">
        <v>53</v>
      </c>
      <c r="K8" t="s">
        <v>15</v>
      </c>
    </row>
    <row r="11" spans="1:11" x14ac:dyDescent="0.2">
      <c r="A11" t="s">
        <v>19</v>
      </c>
      <c r="B11" s="7">
        <v>9</v>
      </c>
    </row>
    <row r="12" spans="1:11" x14ac:dyDescent="0.2">
      <c r="A12" t="s">
        <v>55</v>
      </c>
      <c r="B12" s="8">
        <v>55</v>
      </c>
    </row>
    <row r="13" spans="1:11" x14ac:dyDescent="0.2">
      <c r="A13" t="s">
        <v>58</v>
      </c>
      <c r="B13" s="6" t="str">
        <f>E3</f>
        <v>$3.23</v>
      </c>
    </row>
    <row r="14" spans="1:11" x14ac:dyDescent="0.2">
      <c r="A14" t="s">
        <v>59</v>
      </c>
      <c r="B14" s="4">
        <f>B13+B11</f>
        <v>12.23</v>
      </c>
    </row>
    <row r="15" spans="1:11" x14ac:dyDescent="0.2">
      <c r="A15" t="s">
        <v>60</v>
      </c>
      <c r="B15" s="5" cm="1">
        <f t="array" ref="B15">_xlfn.IFS(B12&lt;36,100%,B12&lt;=60,85%,B12&lt;=144,65%,B12&lt;=249,55%,B12&gt;=250,40%)</f>
        <v>0.85</v>
      </c>
    </row>
    <row r="16" spans="1:11" x14ac:dyDescent="0.2">
      <c r="A16" t="s">
        <v>61</v>
      </c>
      <c r="B16" s="4">
        <f>B14+(B15*B14)</f>
        <v>22.625500000000002</v>
      </c>
    </row>
    <row r="17" spans="1:2" x14ac:dyDescent="0.2">
      <c r="A17" t="s">
        <v>60</v>
      </c>
      <c r="B17" s="4">
        <f>(B16-B14)*(B12)</f>
        <v>571.75250000000005</v>
      </c>
    </row>
    <row r="18" spans="1:2" x14ac:dyDescent="0.2">
      <c r="A18" t="s">
        <v>65</v>
      </c>
      <c r="B18" s="4">
        <f>B16*0.1</f>
        <v>2.2625500000000005</v>
      </c>
    </row>
    <row r="19" spans="1:2" x14ac:dyDescent="0.2">
      <c r="A19" t="s">
        <v>66</v>
      </c>
      <c r="B19" s="4">
        <f>B18*B12</f>
        <v>124.44025000000003</v>
      </c>
    </row>
    <row r="20" spans="1:2" x14ac:dyDescent="0.2">
      <c r="A20" t="s">
        <v>62</v>
      </c>
      <c r="B20" s="4">
        <f>B17-B19</f>
        <v>447.31225000000001</v>
      </c>
    </row>
  </sheetData>
  <pageMargins left="0.7" right="0.7" top="0.75" bottom="0.75" header="0.3" footer="0.3"/>
  <ignoredErrors>
    <ignoredError sqref="A2:K2 A3:B8 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69C7-BBB2-FE45-B940-C79005B29BB9}">
  <dimension ref="A1:C20"/>
  <sheetViews>
    <sheetView tabSelected="1" workbookViewId="0">
      <selection activeCell="E12" sqref="E12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64</v>
      </c>
    </row>
    <row r="2" spans="1:3" x14ac:dyDescent="0.2">
      <c r="A2" t="s">
        <v>0</v>
      </c>
      <c r="B2" t="s">
        <v>0</v>
      </c>
      <c r="C2" t="s">
        <v>67</v>
      </c>
    </row>
    <row r="3" spans="1:3" x14ac:dyDescent="0.2">
      <c r="A3">
        <v>1</v>
      </c>
      <c r="B3">
        <v>5</v>
      </c>
      <c r="C3" s="9">
        <v>7</v>
      </c>
    </row>
    <row r="4" spans="1:3" x14ac:dyDescent="0.2">
      <c r="A4">
        <v>6</v>
      </c>
      <c r="B4">
        <v>23</v>
      </c>
      <c r="C4" s="9">
        <v>5.5</v>
      </c>
    </row>
    <row r="5" spans="1:3" x14ac:dyDescent="0.2">
      <c r="A5">
        <v>24</v>
      </c>
      <c r="B5">
        <v>35</v>
      </c>
      <c r="C5" s="9">
        <v>5.25</v>
      </c>
    </row>
    <row r="6" spans="1:3" x14ac:dyDescent="0.2">
      <c r="A6">
        <v>36</v>
      </c>
      <c r="B6">
        <v>71</v>
      </c>
      <c r="C6" s="9">
        <v>4.75</v>
      </c>
    </row>
    <row r="7" spans="1:3" x14ac:dyDescent="0.2">
      <c r="A7">
        <v>72</v>
      </c>
      <c r="B7">
        <v>143</v>
      </c>
      <c r="C7" s="9">
        <v>4.25</v>
      </c>
    </row>
    <row r="8" spans="1:3" x14ac:dyDescent="0.2">
      <c r="A8">
        <v>144</v>
      </c>
      <c r="B8">
        <v>500</v>
      </c>
      <c r="C8" s="9">
        <v>3.25</v>
      </c>
    </row>
    <row r="11" spans="1:3" x14ac:dyDescent="0.2">
      <c r="A11" t="s">
        <v>19</v>
      </c>
      <c r="B11" s="7">
        <v>9</v>
      </c>
    </row>
    <row r="12" spans="1:3" x14ac:dyDescent="0.2">
      <c r="A12" t="s">
        <v>55</v>
      </c>
      <c r="B12" s="8">
        <v>55</v>
      </c>
    </row>
    <row r="13" spans="1:3" x14ac:dyDescent="0.2">
      <c r="A13" t="s">
        <v>58</v>
      </c>
      <c r="B13" s="6">
        <f>E3</f>
        <v>0</v>
      </c>
    </row>
    <row r="14" spans="1:3" x14ac:dyDescent="0.2">
      <c r="A14" t="s">
        <v>59</v>
      </c>
      <c r="B14" s="4">
        <f>B13+B11</f>
        <v>9</v>
      </c>
    </row>
    <row r="15" spans="1:3" x14ac:dyDescent="0.2">
      <c r="A15" t="s">
        <v>60</v>
      </c>
      <c r="B15" s="5" cm="1">
        <f t="array" ref="B15">_xlfn.IFS(B12&lt;36,100%,B12&lt;=60,85%,B12&lt;=144,65%,B12&lt;=249,55%,B12&gt;=250,40%)</f>
        <v>0.85</v>
      </c>
    </row>
    <row r="16" spans="1:3" x14ac:dyDescent="0.2">
      <c r="A16" t="s">
        <v>61</v>
      </c>
      <c r="B16" s="4">
        <f>B14+(B15*B14)</f>
        <v>16.649999999999999</v>
      </c>
    </row>
    <row r="17" spans="1:2" x14ac:dyDescent="0.2">
      <c r="A17" t="s">
        <v>60</v>
      </c>
      <c r="B17" s="4">
        <f>(B16-B14)*(B12)</f>
        <v>420.74999999999994</v>
      </c>
    </row>
    <row r="18" spans="1:2" x14ac:dyDescent="0.2">
      <c r="A18" t="s">
        <v>65</v>
      </c>
      <c r="B18" s="4">
        <f>B16*0.1</f>
        <v>1.665</v>
      </c>
    </row>
    <row r="19" spans="1:2" x14ac:dyDescent="0.2">
      <c r="A19" t="s">
        <v>66</v>
      </c>
      <c r="B19" s="4">
        <f>B18*B12</f>
        <v>91.575000000000003</v>
      </c>
    </row>
    <row r="20" spans="1:2" x14ac:dyDescent="0.2">
      <c r="A20" t="s">
        <v>62</v>
      </c>
      <c r="B20" s="4">
        <f>B17-B19</f>
        <v>329.17499999999995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5820-E3B5-CB4C-87B4-EFF5B02EFDBE}">
  <dimension ref="A1:H34"/>
  <sheetViews>
    <sheetView zoomScale="164" zoomScaleNormal="164" workbookViewId="0">
      <selection activeCell="A25" sqref="A25:B34"/>
    </sheetView>
  </sheetViews>
  <sheetFormatPr baseColWidth="10" defaultRowHeight="16" x14ac:dyDescent="0.2"/>
  <cols>
    <col min="2" max="2" width="11.1640625" bestFit="1" customWidth="1"/>
  </cols>
  <sheetData>
    <row r="1" spans="1:8" x14ac:dyDescent="0.2">
      <c r="A1" t="s">
        <v>1</v>
      </c>
      <c r="B1" t="s">
        <v>2</v>
      </c>
      <c r="C1" t="s">
        <v>54</v>
      </c>
    </row>
    <row r="2" spans="1:8" s="1" customFormat="1" x14ac:dyDescent="0.2">
      <c r="A2" s="1" t="s">
        <v>0</v>
      </c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</row>
    <row r="3" spans="1:8" x14ac:dyDescent="0.2">
      <c r="A3">
        <v>12</v>
      </c>
      <c r="B3">
        <v>36</v>
      </c>
      <c r="C3">
        <v>2.85</v>
      </c>
      <c r="D3">
        <v>2.95</v>
      </c>
      <c r="E3">
        <v>3.1</v>
      </c>
      <c r="F3">
        <v>3.3</v>
      </c>
      <c r="G3">
        <v>3.5</v>
      </c>
      <c r="H3">
        <v>3.65</v>
      </c>
    </row>
    <row r="4" spans="1:8" x14ac:dyDescent="0.2">
      <c r="A4">
        <v>37</v>
      </c>
      <c r="B4">
        <v>60</v>
      </c>
      <c r="C4">
        <v>2.35</v>
      </c>
      <c r="D4">
        <v>2.4500000000000002</v>
      </c>
      <c r="E4">
        <v>2.6</v>
      </c>
      <c r="F4">
        <v>2.7</v>
      </c>
      <c r="G4">
        <v>2.8</v>
      </c>
      <c r="H4">
        <v>2.9</v>
      </c>
    </row>
    <row r="5" spans="1:8" x14ac:dyDescent="0.2">
      <c r="A5">
        <v>61</v>
      </c>
      <c r="B5">
        <v>144</v>
      </c>
      <c r="C5">
        <v>2</v>
      </c>
      <c r="D5">
        <v>2.0499999999999998</v>
      </c>
      <c r="E5">
        <v>2.2000000000000002</v>
      </c>
      <c r="F5">
        <v>2.4</v>
      </c>
      <c r="G5">
        <v>2.5499999999999998</v>
      </c>
      <c r="H5">
        <v>2.65</v>
      </c>
    </row>
    <row r="6" spans="1:8" x14ac:dyDescent="0.2">
      <c r="A6">
        <v>145</v>
      </c>
      <c r="B6">
        <v>249</v>
      </c>
      <c r="C6">
        <v>1.8</v>
      </c>
      <c r="D6">
        <v>1.9</v>
      </c>
      <c r="E6">
        <v>2.0499999999999998</v>
      </c>
      <c r="F6">
        <v>2.15</v>
      </c>
      <c r="G6">
        <v>2.35</v>
      </c>
      <c r="H6">
        <v>2.5499999999999998</v>
      </c>
    </row>
    <row r="7" spans="1:8" x14ac:dyDescent="0.2">
      <c r="A7">
        <v>250</v>
      </c>
      <c r="B7">
        <v>600</v>
      </c>
      <c r="C7">
        <v>1.2</v>
      </c>
      <c r="D7">
        <v>1.25</v>
      </c>
      <c r="E7">
        <v>1.45</v>
      </c>
      <c r="F7">
        <v>1.5</v>
      </c>
      <c r="G7">
        <v>1.65</v>
      </c>
      <c r="H7">
        <v>2.5</v>
      </c>
    </row>
    <row r="9" spans="1:8" x14ac:dyDescent="0.2">
      <c r="A9" t="s">
        <v>56</v>
      </c>
    </row>
    <row r="10" spans="1:8" x14ac:dyDescent="0.2">
      <c r="A10">
        <v>12</v>
      </c>
      <c r="B10">
        <v>36</v>
      </c>
      <c r="C10" s="3">
        <f>C3+((30*$C$2)/$B$26)</f>
        <v>3.3954545454545455</v>
      </c>
      <c r="D10" s="3">
        <f>D3+((30*$D$2)/$B$26)</f>
        <v>4.040909090909091</v>
      </c>
      <c r="E10" s="3">
        <f>E3+((30*$E$2)/$B$26)</f>
        <v>4.7363636363636363</v>
      </c>
      <c r="F10" s="3">
        <f>F3+((30*$F$2)/$B$26)</f>
        <v>5.4818181818181815</v>
      </c>
      <c r="G10" s="3">
        <f>G3+((30*$G$2)/$B$26)</f>
        <v>6.2272727272727266</v>
      </c>
      <c r="H10" s="3">
        <f>H3+((30*$H$2)/$B$26)</f>
        <v>6.9227272727272728</v>
      </c>
    </row>
    <row r="11" spans="1:8" x14ac:dyDescent="0.2">
      <c r="A11">
        <v>37</v>
      </c>
      <c r="B11">
        <v>60</v>
      </c>
      <c r="C11" s="3">
        <f>C4+((30*$C$2)/$B$26)</f>
        <v>2.8954545454545455</v>
      </c>
      <c r="D11" s="3">
        <f>D4+((30*$D$2)/$B$26)</f>
        <v>3.540909090909091</v>
      </c>
      <c r="E11" s="3">
        <f>E4+((30*$E$2)/$B$26)</f>
        <v>4.2363636363636363</v>
      </c>
      <c r="F11" s="3">
        <f>F4+((30*$F$2)/$B$26)</f>
        <v>4.8818181818181818</v>
      </c>
      <c r="G11" s="3">
        <f>G4+((30*$G$2)/$B$26)</f>
        <v>5.5272727272727273</v>
      </c>
      <c r="H11" s="3">
        <f>H4+((30*$H$2)/$B$26)</f>
        <v>6.1727272727272728</v>
      </c>
    </row>
    <row r="12" spans="1:8" x14ac:dyDescent="0.2">
      <c r="A12">
        <v>61</v>
      </c>
      <c r="B12">
        <v>144</v>
      </c>
      <c r="C12" s="3">
        <f>C5+((30*$C$2)/$B$26)</f>
        <v>2.5454545454545454</v>
      </c>
      <c r="D12" s="3">
        <f>D5+((30*$D$2)/$B$26)</f>
        <v>3.1409090909090907</v>
      </c>
      <c r="E12" s="3">
        <f>E5+((30*$E$2)/$B$26)</f>
        <v>3.8363636363636369</v>
      </c>
      <c r="F12" s="3">
        <f>F5+((30*$F$2)/$B$26)</f>
        <v>4.581818181818182</v>
      </c>
      <c r="G12" s="3">
        <f>G5+((30*$G$2)/$B$26)</f>
        <v>5.2772727272727273</v>
      </c>
      <c r="H12" s="3">
        <f>H5+((30*$H$2)/$B$26)</f>
        <v>5.9227272727272728</v>
      </c>
    </row>
    <row r="13" spans="1:8" x14ac:dyDescent="0.2">
      <c r="A13">
        <v>145</v>
      </c>
      <c r="B13">
        <v>249</v>
      </c>
      <c r="C13" s="3">
        <f>C6+((30*$C$2)/$B$26)</f>
        <v>2.3454545454545457</v>
      </c>
      <c r="D13" s="3">
        <f>D6+((30*$D$2)/$B$26)</f>
        <v>2.9909090909090907</v>
      </c>
      <c r="E13" s="3">
        <f>E6+((30*$E$2)/$B$26)</f>
        <v>3.6863636363636365</v>
      </c>
      <c r="F13" s="3">
        <f>F6+((30*$F$2)/$B$26)</f>
        <v>4.331818181818182</v>
      </c>
      <c r="G13" s="3">
        <f>G6+((30*$G$2)/$B$26)</f>
        <v>5.0772727272727272</v>
      </c>
      <c r="H13" s="3">
        <f>H6+((30*$H$2)/$B$26)</f>
        <v>5.8227272727272723</v>
      </c>
    </row>
    <row r="14" spans="1:8" x14ac:dyDescent="0.2">
      <c r="A14">
        <v>250</v>
      </c>
      <c r="B14">
        <v>600</v>
      </c>
      <c r="C14" s="3">
        <f>C7+((34*$C$2)/$B$26)</f>
        <v>1.8181818181818181</v>
      </c>
      <c r="D14" s="3">
        <f>D7+((34*$D$2)/$B$26)</f>
        <v>2.4863636363636363</v>
      </c>
      <c r="E14" s="3">
        <f>E7+((34*$E$2)/$B$26)</f>
        <v>3.3045454545454547</v>
      </c>
      <c r="F14" s="3">
        <f>F7+((34*$F$2)/$B$26)</f>
        <v>3.9727272727272727</v>
      </c>
      <c r="G14" s="3">
        <f>G7+((34*$G$2)/$B$26)</f>
        <v>4.7409090909090903</v>
      </c>
      <c r="H14" s="3">
        <f>H7+((34*$H$2)/$B$26)</f>
        <v>6.209090909090909</v>
      </c>
    </row>
    <row r="17" spans="1:8" x14ac:dyDescent="0.2">
      <c r="A17" t="s">
        <v>57</v>
      </c>
    </row>
    <row r="18" spans="1:8" x14ac:dyDescent="0.2">
      <c r="A18">
        <v>12</v>
      </c>
      <c r="B18">
        <v>36</v>
      </c>
      <c r="C18" s="3">
        <f>C10</f>
        <v>3.3954545454545455</v>
      </c>
      <c r="D18" s="3">
        <f t="shared" ref="D18:H18" si="0">D10</f>
        <v>4.040909090909091</v>
      </c>
      <c r="E18" s="3">
        <f t="shared" si="0"/>
        <v>4.7363636363636363</v>
      </c>
      <c r="F18" s="3">
        <f t="shared" si="0"/>
        <v>5.4818181818181815</v>
      </c>
      <c r="G18" s="3">
        <f t="shared" si="0"/>
        <v>6.2272727272727266</v>
      </c>
      <c r="H18" s="3">
        <f t="shared" si="0"/>
        <v>6.9227272727272728</v>
      </c>
    </row>
    <row r="19" spans="1:8" x14ac:dyDescent="0.2">
      <c r="A19">
        <v>37</v>
      </c>
      <c r="B19">
        <v>60</v>
      </c>
      <c r="C19" s="3">
        <f t="shared" ref="C19:H19" si="1">C11</f>
        <v>2.8954545454545455</v>
      </c>
      <c r="D19" s="3">
        <f t="shared" si="1"/>
        <v>3.540909090909091</v>
      </c>
      <c r="E19" s="3">
        <f t="shared" si="1"/>
        <v>4.2363636363636363</v>
      </c>
      <c r="F19" s="3">
        <f t="shared" si="1"/>
        <v>4.8818181818181818</v>
      </c>
      <c r="G19" s="3">
        <f t="shared" si="1"/>
        <v>5.5272727272727273</v>
      </c>
      <c r="H19" s="3">
        <f t="shared" si="1"/>
        <v>6.1727272727272728</v>
      </c>
    </row>
    <row r="20" spans="1:8" x14ac:dyDescent="0.2">
      <c r="A20">
        <v>61</v>
      </c>
      <c r="B20">
        <v>144</v>
      </c>
      <c r="C20" s="3">
        <f t="shared" ref="C20:H20" si="2">C12</f>
        <v>2.5454545454545454</v>
      </c>
      <c r="D20" s="3">
        <f t="shared" si="2"/>
        <v>3.1409090909090907</v>
      </c>
      <c r="E20" s="3">
        <f t="shared" si="2"/>
        <v>3.8363636363636369</v>
      </c>
      <c r="F20" s="3">
        <f t="shared" si="2"/>
        <v>4.581818181818182</v>
      </c>
      <c r="G20" s="3">
        <f t="shared" si="2"/>
        <v>5.2772727272727273</v>
      </c>
      <c r="H20" s="3">
        <f t="shared" si="2"/>
        <v>5.9227272727272728</v>
      </c>
    </row>
    <row r="21" spans="1:8" x14ac:dyDescent="0.2">
      <c r="A21">
        <v>145</v>
      </c>
      <c r="B21">
        <v>249</v>
      </c>
      <c r="C21" s="3">
        <f t="shared" ref="C21:H21" si="3">C13</f>
        <v>2.3454545454545457</v>
      </c>
      <c r="D21" s="3">
        <f t="shared" si="3"/>
        <v>2.9909090909090907</v>
      </c>
      <c r="E21" s="3">
        <f t="shared" si="3"/>
        <v>3.6863636363636365</v>
      </c>
      <c r="F21" s="3">
        <f t="shared" si="3"/>
        <v>4.331818181818182</v>
      </c>
      <c r="G21" s="3">
        <f t="shared" si="3"/>
        <v>5.0772727272727272</v>
      </c>
      <c r="H21" s="3">
        <f t="shared" si="3"/>
        <v>5.8227272727272723</v>
      </c>
    </row>
    <row r="22" spans="1:8" x14ac:dyDescent="0.2">
      <c r="A22">
        <v>200</v>
      </c>
      <c r="B22">
        <v>299</v>
      </c>
      <c r="C22" s="3">
        <f t="shared" ref="C22:H22" si="4">C14</f>
        <v>1.8181818181818181</v>
      </c>
      <c r="D22" s="3">
        <f t="shared" si="4"/>
        <v>2.4863636363636363</v>
      </c>
      <c r="E22" s="3">
        <f t="shared" si="4"/>
        <v>3.3045454545454547</v>
      </c>
      <c r="F22" s="3">
        <f t="shared" si="4"/>
        <v>3.9727272727272727</v>
      </c>
      <c r="G22" s="3">
        <f t="shared" si="4"/>
        <v>4.7409090909090903</v>
      </c>
      <c r="H22" s="3">
        <f t="shared" si="4"/>
        <v>6.209090909090909</v>
      </c>
    </row>
    <row r="25" spans="1:8" x14ac:dyDescent="0.2">
      <c r="A25" t="s">
        <v>19</v>
      </c>
      <c r="B25">
        <v>6</v>
      </c>
    </row>
    <row r="26" spans="1:8" x14ac:dyDescent="0.2">
      <c r="A26" t="s">
        <v>55</v>
      </c>
      <c r="B26">
        <v>55</v>
      </c>
    </row>
    <row r="27" spans="1:8" x14ac:dyDescent="0.2">
      <c r="A27" t="s">
        <v>58</v>
      </c>
      <c r="B27" s="4">
        <f>D14</f>
        <v>2.4863636363636363</v>
      </c>
    </row>
    <row r="28" spans="1:8" x14ac:dyDescent="0.2">
      <c r="A28" t="s">
        <v>59</v>
      </c>
      <c r="B28" s="4">
        <f>B27+B25</f>
        <v>8.4863636363636363</v>
      </c>
    </row>
    <row r="29" spans="1:8" x14ac:dyDescent="0.2">
      <c r="A29" t="s">
        <v>60</v>
      </c>
      <c r="B29" s="5" cm="1">
        <f t="array" ref="B29">_xlfn.IFS(B26&lt;36,100%,B26&lt;=60,85%,B26&lt;=144,65%,B26&lt;=249,55%,B26&gt;=250,40%)</f>
        <v>0.85</v>
      </c>
    </row>
    <row r="30" spans="1:8" x14ac:dyDescent="0.2">
      <c r="A30" t="s">
        <v>61</v>
      </c>
      <c r="B30" s="4">
        <f>B28+(B29*B28)</f>
        <v>15.699772727272727</v>
      </c>
    </row>
    <row r="31" spans="1:8" x14ac:dyDescent="0.2">
      <c r="A31" t="s">
        <v>62</v>
      </c>
      <c r="B31" s="4">
        <f>(B30-B28)*(B26)</f>
        <v>396.73749999999995</v>
      </c>
    </row>
    <row r="32" spans="1:8" x14ac:dyDescent="0.2">
      <c r="A32" t="s">
        <v>63</v>
      </c>
      <c r="B32" s="4">
        <f>B30*0.1</f>
        <v>1.5699772727272727</v>
      </c>
    </row>
    <row r="33" spans="1:1" x14ac:dyDescent="0.2">
      <c r="A33" s="4">
        <f>B32*B26</f>
        <v>86.348749999999995</v>
      </c>
    </row>
    <row r="34" spans="1:1" x14ac:dyDescent="0.2">
      <c r="A34" s="4">
        <f>B31-A33</f>
        <v>310.38874999999996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 Transfer</vt:lpstr>
      <vt:lpstr>Embroidery</vt:lpstr>
      <vt:lpstr>Screen Printing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Zimmerman</cp:lastModifiedBy>
  <dcterms:created xsi:type="dcterms:W3CDTF">2026-04-09T13:04:05Z</dcterms:created>
  <dcterms:modified xsi:type="dcterms:W3CDTF">2026-04-11T18:19:50Z</dcterms:modified>
</cp:coreProperties>
</file>